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Area Comum\1. Atualizações\SP-Bauru - Sant'ana\"/>
    </mc:Choice>
  </mc:AlternateContent>
  <xr:revisionPtr revIDLastSave="0" documentId="13_ncr:1_{A4FB9806-F066-42D1-9782-0A73D6E23FB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rçamento" sheetId="1" r:id="rId1"/>
  </sheets>
  <definedNames>
    <definedName name="_xlnm._FilterDatabase" localSheetId="0" hidden="1">Orçamento!$A$2:$F$2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F83" i="1"/>
  <c r="F78" i="1"/>
  <c r="F71" i="1"/>
  <c r="F67" i="1"/>
  <c r="F64" i="1"/>
  <c r="F60" i="1"/>
  <c r="F58" i="1"/>
  <c r="F54" i="1"/>
  <c r="F49" i="1"/>
  <c r="F45" i="1"/>
  <c r="F40" i="1"/>
  <c r="F35" i="1"/>
  <c r="F32" i="1"/>
  <c r="F28" i="1"/>
  <c r="F25" i="1"/>
  <c r="F20" i="1"/>
  <c r="F12" i="1"/>
  <c r="F8" i="1"/>
  <c r="F3" i="1"/>
  <c r="E89" i="1" l="1"/>
  <c r="E90" i="1" s="1"/>
  <c r="E91" i="1" s="1"/>
</calcChain>
</file>

<file path=xl/sharedStrings.xml><?xml version="1.0" encoding="utf-8"?>
<sst xmlns="http://schemas.openxmlformats.org/spreadsheetml/2006/main" count="169" uniqueCount="97">
  <si>
    <t>Código</t>
  </si>
  <si>
    <t>Descrição</t>
  </si>
  <si>
    <t>Un.</t>
  </si>
  <si>
    <t>Qtd.</t>
  </si>
  <si>
    <t>Preço Unit</t>
  </si>
  <si>
    <t>Total sem BDI</t>
  </si>
  <si>
    <t>SERVIÇOS PRELIMINARES</t>
  </si>
  <si>
    <t>PROJETOS E LAUDOS DE REFORMA</t>
  </si>
  <si>
    <t>H</t>
  </si>
  <si>
    <t>ADMINISTRAÇÃO LOCAL</t>
  </si>
  <si>
    <t>ALUGUEL DE ANDAIME FACHADEIRO</t>
  </si>
  <si>
    <t>M²xMês</t>
  </si>
  <si>
    <t>LOCACAO DE CONTAINER 2,30 X 6,00 M, ALT. 2,50 M, PARA ESCRITORIO, SEM DIVISORIAS INTERNAS E SEM SANITARIO (NAO INCLUI MOBILIZACAO/DESMOBILIZACAO)</t>
  </si>
  <si>
    <t>MES</t>
  </si>
  <si>
    <t>REVISÃO DA COBERTURA/TELHAMENTO E AMARRAÇÃO (BEIRAIS)</t>
  </si>
  <si>
    <t>REMOÇÃO DE TELHAS DE FIBROCIMENTO METÁLICA E CERÂMICA, DE FORMA MANUAL, SEM REAPROVEITAMENTO. AF_09/2023</t>
  </si>
  <si>
    <t>M2</t>
  </si>
  <si>
    <t>TELHAMENTO COM TELHA DE CONCRETO DE ENCAIXE, COM MAIS DE 2 ÁGUAS, INCLUSO TRANSPORTE VERTICAL. AF_07/2019</t>
  </si>
  <si>
    <t>AMARRAÇÃO DE TELHAS CERÂMICAS OU DE CONCRETO. AF_07/2019</t>
  </si>
  <si>
    <t>UN</t>
  </si>
  <si>
    <t>SISTEMA DE CAPTAÇÃO PLUVIAL (CALHAS BEIRAL) E FAIXA IMPERMEÁVEL</t>
  </si>
  <si>
    <t>CALHA EM CHAPA DE AÇO GALVANIZADO NÚMERO 24, DESENVOLVIMENTO DE 50 CM, INCLUSO TRANSPORTE VERTICAL. AF_07/2019</t>
  </si>
  <si>
    <t>M</t>
  </si>
  <si>
    <t>TUBO PVC, SÉRIE R, ÁGUA PLUVIAL, DN 100 MM, FORNECIDO E INSTALADO EM CONDUTORES VERTICAIS DE ÁGUAS PLUVIAIS. AF_06/2022</t>
  </si>
  <si>
    <t>CAIXA DE AREIA 40X40X40CM EM ALVENARIA - EXECUÇÃO</t>
  </si>
  <si>
    <t>TUBO PVC, SÉRIE R, ÁGUA PLUVIAL, DN 100 MM, FORNECIDO E INSTALADO EM RAMAL DE ENCAMINHAMENTO. AF_06/2022</t>
  </si>
  <si>
    <t>LIMPEZA DE SUPERFÍCIE PISO OU PAREDE COM JATO DE ALTA PRESSÃO. AF_10/2025</t>
  </si>
  <si>
    <t>IMPERMEABILIZAÇÃO DE SUPERFÍCIE COM ARGAMASSA POLIMÉRICA / MEMBRANA ACRÍLICA, 4 DEMÃOS, REFORÇADA COM VÉU DE POLIÉSTER (MAV). AF_09/2023</t>
  </si>
  <si>
    <t>PINTURA HIDROFUGANTE COM SILICONE, APLICAÇÃO MANUAL, 2 DEMÃOS. AF_05/2021</t>
  </si>
  <si>
    <t>SUBSTITUIÇÃO DO REVESTIMENTO ARGAMASSADO (REBOCO)</t>
  </si>
  <si>
    <t>DEMOLIÇÃO DE ARGAMASSAS, DE FORMA MANUAL, SEM REAPROVEITAMENTO. AF_09/2023</t>
  </si>
  <si>
    <t>CHAPISCO APLICADO EM ALVENARIAS E ESTRUTURAS DE CONCRETO INTERNAS, COM COLHER DE PEDREIRO. ARGAMASSA TRAÇO 1:3 COM PREPARO EM BETONEIRA 400L. AF_10/2022</t>
  </si>
  <si>
    <t>EMBOÇO OU MASSA ÚNICA EM ARGAMASSA TRAÇO 1:2:8, PREPARO MECÂNICO COM BETONEIRA 400 L, APLICADA MANUALMENTE EM PANOS DE FACHADA COM PRESENÇA DE VÃOS, ESPESSURA DE 25 MM. AF_08/2022</t>
  </si>
  <si>
    <t>MASSA ÚNICA, EM ARGAMASSA TRAÇO 1:2:8, PREPARO MANUAL, APLICADA MANUALMENTE EM PAREDES INTERNAS DE AMBIENTES COM ÁREA ENTRE 5M² E 10M², E = 17,5MM, COM TALISCAS. AF_03/2024</t>
  </si>
  <si>
    <t>REPARO DE FISSURAS/TRINCAS EM FACHADAS (MOVIMENTAÇÕES ESTRUTURAIS E HIGROSCÓPICAS)</t>
  </si>
  <si>
    <t>TRATAMENTO DE TRINCAS COM RESINA ACRILICA</t>
  </si>
  <si>
    <t>TRATAMENTO DE FISSURAS E TRINCAS COM ADESIVO ESTRUTURAL E TELA DE REFORÇO</t>
  </si>
  <si>
    <t>REINSTALAÇÃO E VEDAÇÃO DE JANELAS</t>
  </si>
  <si>
    <t>PEDREIRO (HORISTA)</t>
  </si>
  <si>
    <t>AUXILIAR DE PEDREIRO (HORISTA)</t>
  </si>
  <si>
    <t>VEDAÇÃO DE JANELAS COM SELANTE À BASE DE POLIURETANO</t>
  </si>
  <si>
    <t>SUBSTITUIÇÃO DOS PEITORIS/PINGADEIRAS DAS JANELAS</t>
  </si>
  <si>
    <t>PEDREIRO COM ENCARGOS COMPLEMENTARES</t>
  </si>
  <si>
    <t>PEITORIL LINEAR EM GRANITO OU MÁRMORE, L = 15CM, ASSENTADO COM ARGAMASSA 1:6 COM ADITIVO. AF_11/2020</t>
  </si>
  <si>
    <t>SUBSTITUIÇÃO DOS PISOS CERÂMICOS (DESPLACAMENTO/HALL)</t>
  </si>
  <si>
    <t>DEMOLIÇÃO DE REVESTIMENTO CERÂMICO, DE FORMA MANUAL, SEM REAPROVEITAMENTO. AF_09/2023</t>
  </si>
  <si>
    <t>REVESTIMENTO CERÂMICO PARA PISO COM PLACAS TIPO ESMALTADA DE DIMENSÕES 60X60 CM APLICADA EM AMBIENTES DE ÁREA ENTRE 5 M2 E 10 M2. AF_02/2023_PE</t>
  </si>
  <si>
    <t>DEMOLIÇÃO DE RODAPÉ CERÂMICO, DE FORMA MANUAL, SEM REAPROVEITAMENTO. AF_09/2023</t>
  </si>
  <si>
    <t>RODAPÉ CERÂMICO DE 7CM DE ALTURA COM PLACAS TIPO ESMALTADA DE DIMENSÕES 60X60CM. AF_02/2023</t>
  </si>
  <si>
    <t>ADEQUAÇÃO E REPAROS DE ABRIGOS DE GÁS</t>
  </si>
  <si>
    <t>REMOÇÃO DE PLACAS E PILARETES DE CONCRETO, DE FORMA MANUAL, SEM REAPROVEITAMENTO. AF_09/2023</t>
  </si>
  <si>
    <t>PEÇA RETANGULAR PRÉ-MOLDADA, VOLUME DE CONCRETO DE 30 A 100 LITROS, TAXA DE AÇO APROXIMADA DE 30KG/M³. AF_03/2024</t>
  </si>
  <si>
    <t>M3</t>
  </si>
  <si>
    <t>RUFO EM CHAPA DE AÇO GALVANIZADO NÚMERO 24, CORTE DE 25 CM, INCLUSO TRANSPORTE VERTICAL. AF_07/2019</t>
  </si>
  <si>
    <t>PISO EM PEDRA ARDÓSIA ASSENTADO SOBRE ARGAMASSA 1:3 (CIMENTO E AREIA). AF_09/2020</t>
  </si>
  <si>
    <t>SUBSTITUIÇÃO E ADEQUAÇÃO DE CAIXAS DE GORDURA/INSPEÇÃO/PASSAGEM</t>
  </si>
  <si>
    <t>SERVENTE COM ENCARGOS COMPLEMENTARES</t>
  </si>
  <si>
    <t>CAIXA DE GORDURA DUPLA (CAPACIDADE: 126 L), RETANGULAR, EM ALVENARIA COM BLOCOS DE CONCRETO, DIMENSÕES INTERNAS = 0,4X0,7 M, ALTURA INTERNA = 0,8 M. AF_12/2020</t>
  </si>
  <si>
    <t>SUBSTITUIÇÃO DE TAMPAS DE CAIXAS DE INSPEÇÃO (NBR 8160)</t>
  </si>
  <si>
    <t>TAMPA CIRCULAR PARA ESGOTO E DRENAGEM, EM FERRO FUNDIDO, DIÂMETRO INTERNO = 0,6 M. AF_12/2020</t>
  </si>
  <si>
    <t>SISTEMA DE ESGOTO</t>
  </si>
  <si>
    <t>REPARO E ADEQUAÇÃO DE CALÇADAS E CALÇAMENTOS</t>
  </si>
  <si>
    <t>REATERRO MANUAL DE VALAS, COM COMPACTADOR DE SOLOS DE PERCUSSÃO. AF_08/2023</t>
  </si>
  <si>
    <t>EXECUÇÃO DE PASSEIO (CALÇADA) OU PISO DE CONCRETO COM CONCRETO MOLDADO IN LOCO, USINADO, ACABAMENTO CONVENCIONAL, ESPESSURA 6 CM, ARMADO. AF_08/2022</t>
  </si>
  <si>
    <t>ACESSIBILIDADE (PISO PODOTÁTIL)</t>
  </si>
  <si>
    <t>PISO PODOTÁTIL DE ALERTA OU DIRECIONAL, DE CONCRETO, ASSENTADO SOBRE ARGAMASSA. AF_03/2024</t>
  </si>
  <si>
    <t>SISTEMA DE DRENAGEM PLUVIAL (SUPERFICIAL)</t>
  </si>
  <si>
    <t>CANALETA MEIA CANA PRÉ-MOLDADA DE CONCRETO (D = 60 CM) - FORNECIMENTO E INSTALAÇÃO. AF_05/2025</t>
  </si>
  <si>
    <t>ESCAVAÇÃO MANUAL DE VALA. AF_09/2024</t>
  </si>
  <si>
    <t>ILUMINAÇÃO COLETIVA</t>
  </si>
  <si>
    <t>POSTE DECORATIVO PARA JARDIM EM AÇO TUBULAR, H = *2,5* M, SEM LUMINÁRIA - FORNECIMENTO E INSTALAÇÃO. AF_04/2025</t>
  </si>
  <si>
    <t>LUMINÁRIA DE LED PARA ILUMINAÇÃO PÚBLICA, DE 98 W ATÉ 137 W - FORNECIMENTO E INSTALAÇÃO. AF_02/2025_PS</t>
  </si>
  <si>
    <t>PAVIMENTAÇÃO ASFÁLTICA (REPAROS)</t>
  </si>
  <si>
    <t>DEMOLIÇÃO PARCIAL DE PAVIMENTO ASFÁLTICO, DE FORMA MECANIZADA, SEM REAPROVEITAMENTO. AF_09/2023</t>
  </si>
  <si>
    <t>CONSTRUÇÃO DE BASE E SUB-BASE PARA PAVIMENTAÇÃO DE SOLO (PREDOMINANTEMENTE ARENOSO) BRITA - 50%-50% COM CIMENTO - 8%, MISTURA EM PISTA, COM ESPESSURA DE 15 CM - EXCLUSIVE ESCAVAÇÃO, CARGA E TRANSPORTE E SOLO. AF_09/2024</t>
  </si>
  <si>
    <t>RECOMPOSIÇÃO DE REVESTIMENTO EM CONCRETO ASFÁLTICO (AQUISIÇÃO EM USINA), PARA O FECHAMENTO DE VALAS - INCLUSO DEMOLIÇÃO DO PAVIMENTO. AF_12/2020</t>
  </si>
  <si>
    <t>REFORÇOS EM MUROS E REEXECUÇÃO DE ALAMBRADOS</t>
  </si>
  <si>
    <t>COMPOSIÇÃO PARAMÉTRICA PARA EXECUÇÃO DE ESTRUTURAS DE CONCRETO ARMADO, EFICICAÇÕES HABITACIONAIS, FCK = 25MPA</t>
  </si>
  <si>
    <t>ALVENARIA DE VEDAÇÃO DE BLOCOS VAZADOS DE CONCRETO DE 14X19X39 CM (ESPESSURA 14 CM) E ARGAMASSA DE ASSENTAMENTO COM PREPARO MANUAL. AF_12/2021</t>
  </si>
  <si>
    <t>PINTURA LÁTEX ACRÍLICA STANDARD, APLICAÇÃO MANUAL EM PAREDES, DUAS DEMÃOS. AF_04/2023</t>
  </si>
  <si>
    <t>ALAMBRADO EM MOURÕES DE CONCRETO, COM TELA DE ARAME GALVANIZADO (INCLUSIVE MURETA EM CONCRETO). AF_12/2025</t>
  </si>
  <si>
    <t>PINTURA EM FACHADAS E HALL POR CONSEQUÊNCIAS DAS INTERVENÇÕES NECESSÁRIAS PARA REPARO DOS VÍCIOS CONSTRUTIVOS</t>
  </si>
  <si>
    <t>APLICAÇÃO MANUAL DE FUNDO SELADOR ACRÍLICO EM PANOS COM PRESENÇA DE VÃOS DE EDIFÍCIOS DE MÚLTIPLOS PAVIMENTOS. AF_03/2024</t>
  </si>
  <si>
    <t>APLICAÇÃO MANUAL DE PINTURA COM TINTA TEXTURIZADA ACRÍLICA EM PANOS COM PRESENÇA DE VÃOS DE EDIFÍCIOS DE MÚLTIPLOS PAVIMENTOS, DUAS CORES. AF_03/2024</t>
  </si>
  <si>
    <t>FUNDO SELADOR ACRÍLICO, APLICAÇÃO MANUAL EM PAREDE, UMA DEMÃO. AF_04/2023</t>
  </si>
  <si>
    <t>DESTINAÇÃO DO ENTULHO</t>
  </si>
  <si>
    <t>CARGA, MANOBRA E DESCARGA DE ENTULHO EM CAMINHÃO BASCULANTE 6 M³ - CARGA COM ESCAVADEIRA HIDRÁULICA (CAÇAMBA DE 0,80 M³ / 111 HP) E DESCARGA LIVRE (UNIDADE: M3). AF_07/2020</t>
  </si>
  <si>
    <t>TRANSPORTE COM CAMINHÃO BASCULANTE DE 6 M³, EM VIA URBANA PAVIMENTADA, DMT ATÉ 30 KM (UNIDADE: M3XKM). AF_07/2020</t>
  </si>
  <si>
    <t>M3XKM</t>
  </si>
  <si>
    <t>LIMPEZA GERAL</t>
  </si>
  <si>
    <t>LIMPEZA DE CONTRAPISO COM VASSOURA A SECO. AF_10/2025</t>
  </si>
  <si>
    <t>SERVENTE DE OBRAS COM ENCARGOS COMPLEMENTARES</t>
  </si>
  <si>
    <t>Comp. Sinapi</t>
  </si>
  <si>
    <t>ORÇAMENTO - REPAROS DE VÍCIOS CONSTRUTIVOS - SINAPI</t>
  </si>
  <si>
    <t xml:space="preserve">TOTAL PARCIAL = </t>
  </si>
  <si>
    <t xml:space="preserve">BDI - BENEFÍCIOS E DESPESAS INDIRETAS = </t>
  </si>
  <si>
    <t>ORÇAMENTO 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</si>
</sst>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11"/>
      <color rgb="FF000000"/>
      <name val="Aptos Narrow"/>
      <family val="2"/>
    </font>
    <font>
      <b/>
      <sz val="12"/>
      <color theme="0"/>
      <name val="Aptos Narrow"/>
      <family val="2"/>
    </font>
    <font>
      <b/>
      <sz val="11"/>
      <color theme="0"/>
      <name val="Aptos Narrow"/>
      <family val="2"/>
    </font>
    <font>
      <b/>
      <sz val="12"/>
      <color rgb="FF000000"/>
      <name val="Aptos Narrow"/>
      <family val="2"/>
    </font>
    <font>
      <b/>
      <sz val="9"/>
      <color rgb="FF000000"/>
      <name val="Aptos Narrow"/>
      <family val="2"/>
    </font>
    <font>
      <b/>
      <sz val="12"/>
      <color theme="1"/>
      <name val="Aptos Narrow"/>
      <family val="2"/>
    </font>
    <font>
      <b/>
      <sz val="14"/>
      <color theme="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rgb="FF000000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4" fontId="0" fillId="0" borderId="0" xfId="0" applyNumberFormat="1"/>
    <xf numFmtId="4" fontId="1" fillId="0" borderId="0" xfId="0" applyNumberFormat="1" applyFon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44" fontId="5" fillId="3" borderId="2" xfId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44" fontId="6" fillId="4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3" fillId="0" borderId="2" xfId="1" applyFont="1" applyBorder="1" applyAlignment="1">
      <alignment horizontal="center" vertical="center"/>
    </xf>
    <xf numFmtId="44" fontId="8" fillId="5" borderId="1" xfId="0" applyNumberFormat="1" applyFont="1" applyFill="1" applyBorder="1" applyAlignment="1">
      <alignment horizontal="right" vertical="center"/>
    </xf>
    <xf numFmtId="44" fontId="8" fillId="5" borderId="1" xfId="1" applyFont="1" applyFill="1" applyBorder="1" applyAlignment="1">
      <alignment horizontal="center" vertical="center"/>
    </xf>
    <xf numFmtId="44" fontId="8" fillId="5" borderId="2" xfId="1" applyFont="1" applyFill="1" applyBorder="1" applyAlignment="1">
      <alignment horizontal="center" vertical="center"/>
    </xf>
    <xf numFmtId="10" fontId="8" fillId="6" borderId="1" xfId="2" applyNumberFormat="1" applyFont="1" applyFill="1" applyBorder="1" applyAlignment="1">
      <alignment horizontal="center" vertical="center" wrapText="1"/>
    </xf>
    <xf numFmtId="44" fontId="9" fillId="7" borderId="1" xfId="0" applyNumberFormat="1" applyFont="1" applyFill="1" applyBorder="1" applyAlignment="1">
      <alignment horizontal="right" vertical="center"/>
    </xf>
    <xf numFmtId="44" fontId="9" fillId="7" borderId="1" xfId="1" applyFont="1" applyFill="1" applyBorder="1" applyAlignment="1">
      <alignment horizontal="center" vertical="center"/>
    </xf>
    <xf numFmtId="44" fontId="9" fillId="7" borderId="2" xfId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workbookViewId="0">
      <pane ySplit="2" topLeftCell="A77" activePane="bottomLeft" state="frozen"/>
      <selection pane="bottomLeft" activeCell="I16" sqref="I16"/>
    </sheetView>
  </sheetViews>
  <sheetFormatPr defaultRowHeight="15" x14ac:dyDescent="0.25"/>
  <cols>
    <col min="1" max="1" width="10.28515625" customWidth="1"/>
    <col min="2" max="2" width="80" customWidth="1"/>
    <col min="3" max="3" width="8.5703125" bestFit="1" customWidth="1"/>
    <col min="4" max="4" width="9.42578125" bestFit="1" customWidth="1"/>
    <col min="5" max="5" width="13" customWidth="1"/>
    <col min="6" max="6" width="17" customWidth="1"/>
  </cols>
  <sheetData>
    <row r="1" spans="1:6" ht="15.75" x14ac:dyDescent="0.25">
      <c r="A1" s="5" t="s">
        <v>93</v>
      </c>
      <c r="B1" s="5"/>
      <c r="C1" s="5"/>
      <c r="D1" s="5"/>
      <c r="E1" s="5"/>
      <c r="F1" s="6"/>
    </row>
    <row r="2" spans="1:6" ht="20.100000000000001" customHeight="1" x14ac:dyDescent="0.25">
      <c r="A2" s="7" t="s">
        <v>0</v>
      </c>
      <c r="B2" s="7" t="s">
        <v>1</v>
      </c>
      <c r="C2" s="7" t="s">
        <v>2</v>
      </c>
      <c r="D2" s="8" t="s">
        <v>3</v>
      </c>
      <c r="E2" s="9" t="s">
        <v>4</v>
      </c>
      <c r="F2" s="10" t="s">
        <v>5</v>
      </c>
    </row>
    <row r="3" spans="1:6" ht="24.95" customHeight="1" x14ac:dyDescent="0.25">
      <c r="A3" s="11"/>
      <c r="B3" s="12" t="s">
        <v>6</v>
      </c>
      <c r="C3" s="13"/>
      <c r="D3" s="13"/>
      <c r="E3" s="13"/>
      <c r="F3" s="14">
        <f>SUM(F4:F7)</f>
        <v>1709497.26</v>
      </c>
    </row>
    <row r="4" spans="1:6" ht="30" x14ac:dyDescent="0.25">
      <c r="A4" s="4" t="s">
        <v>92</v>
      </c>
      <c r="B4" s="15" t="s">
        <v>7</v>
      </c>
      <c r="C4" s="16" t="s">
        <v>8</v>
      </c>
      <c r="D4" s="16">
        <v>90</v>
      </c>
      <c r="E4" s="17">
        <v>145.96</v>
      </c>
      <c r="F4" s="18">
        <v>13136.4</v>
      </c>
    </row>
    <row r="5" spans="1:6" ht="30" x14ac:dyDescent="0.25">
      <c r="A5" s="4" t="s">
        <v>92</v>
      </c>
      <c r="B5" s="15" t="s">
        <v>9</v>
      </c>
      <c r="C5" s="16" t="s">
        <v>8</v>
      </c>
      <c r="D5" s="16">
        <v>3456</v>
      </c>
      <c r="E5" s="17">
        <v>231.06</v>
      </c>
      <c r="F5" s="18">
        <v>798543.35999999999</v>
      </c>
    </row>
    <row r="6" spans="1:6" ht="30" x14ac:dyDescent="0.25">
      <c r="A6" s="4" t="s">
        <v>92</v>
      </c>
      <c r="B6" s="15" t="s">
        <v>10</v>
      </c>
      <c r="C6" s="15" t="s">
        <v>11</v>
      </c>
      <c r="D6" s="16">
        <v>30192</v>
      </c>
      <c r="E6" s="17">
        <v>29.04</v>
      </c>
      <c r="F6" s="18">
        <v>876775.68</v>
      </c>
    </row>
    <row r="7" spans="1:6" ht="30" x14ac:dyDescent="0.25">
      <c r="A7" s="4">
        <v>10776</v>
      </c>
      <c r="B7" s="15" t="s">
        <v>12</v>
      </c>
      <c r="C7" s="16" t="s">
        <v>13</v>
      </c>
      <c r="D7" s="16">
        <v>29</v>
      </c>
      <c r="E7" s="17">
        <v>725.58</v>
      </c>
      <c r="F7" s="18">
        <v>21041.82</v>
      </c>
    </row>
    <row r="8" spans="1:6" ht="24.95" customHeight="1" x14ac:dyDescent="0.25">
      <c r="A8" s="11"/>
      <c r="B8" s="12" t="s">
        <v>14</v>
      </c>
      <c r="C8" s="13"/>
      <c r="D8" s="13"/>
      <c r="E8" s="13"/>
      <c r="F8" s="14">
        <f>SUM(F9:F11)</f>
        <v>20531.400000000001</v>
      </c>
    </row>
    <row r="9" spans="1:6" ht="30" x14ac:dyDescent="0.25">
      <c r="A9" s="4">
        <v>97647</v>
      </c>
      <c r="B9" s="15" t="s">
        <v>15</v>
      </c>
      <c r="C9" s="16" t="s">
        <v>16</v>
      </c>
      <c r="D9" s="16">
        <v>190</v>
      </c>
      <c r="E9" s="17">
        <v>5.0199999999999996</v>
      </c>
      <c r="F9" s="18">
        <v>953.8</v>
      </c>
    </row>
    <row r="10" spans="1:6" ht="30" x14ac:dyDescent="0.25">
      <c r="A10" s="4">
        <v>94192</v>
      </c>
      <c r="B10" s="15" t="s">
        <v>17</v>
      </c>
      <c r="C10" s="16" t="s">
        <v>16</v>
      </c>
      <c r="D10" s="16">
        <v>190</v>
      </c>
      <c r="E10" s="17">
        <v>46.94</v>
      </c>
      <c r="F10" s="18">
        <v>8918.6</v>
      </c>
    </row>
    <row r="11" spans="1:6" x14ac:dyDescent="0.25">
      <c r="A11" s="4">
        <v>94232</v>
      </c>
      <c r="B11" s="15" t="s">
        <v>18</v>
      </c>
      <c r="C11" s="15" t="s">
        <v>19</v>
      </c>
      <c r="D11" s="16">
        <v>2850</v>
      </c>
      <c r="E11" s="17">
        <v>3.74</v>
      </c>
      <c r="F11" s="18">
        <v>10659</v>
      </c>
    </row>
    <row r="12" spans="1:6" ht="24.95" customHeight="1" x14ac:dyDescent="0.25">
      <c r="A12" s="11"/>
      <c r="B12" s="12" t="s">
        <v>20</v>
      </c>
      <c r="C12" s="13"/>
      <c r="D12" s="13"/>
      <c r="E12" s="13"/>
      <c r="F12" s="14">
        <f>SUM(F13:F19)</f>
        <v>979510.59</v>
      </c>
    </row>
    <row r="13" spans="1:6" ht="30" x14ac:dyDescent="0.25">
      <c r="A13" s="4">
        <v>94228</v>
      </c>
      <c r="B13" s="15" t="s">
        <v>21</v>
      </c>
      <c r="C13" s="16" t="s">
        <v>22</v>
      </c>
      <c r="D13" s="16">
        <v>3289</v>
      </c>
      <c r="E13" s="17">
        <v>91.02</v>
      </c>
      <c r="F13" s="18">
        <v>299364.78000000003</v>
      </c>
    </row>
    <row r="14" spans="1:6" ht="30" x14ac:dyDescent="0.25">
      <c r="A14" s="4">
        <v>89578</v>
      </c>
      <c r="B14" s="15" t="s">
        <v>23</v>
      </c>
      <c r="C14" s="16" t="s">
        <v>22</v>
      </c>
      <c r="D14" s="16">
        <v>3456</v>
      </c>
      <c r="E14" s="17">
        <v>40.39</v>
      </c>
      <c r="F14" s="18">
        <v>139587.84</v>
      </c>
    </row>
    <row r="15" spans="1:6" ht="30" x14ac:dyDescent="0.25">
      <c r="A15" s="4" t="s">
        <v>92</v>
      </c>
      <c r="B15" s="15" t="s">
        <v>24</v>
      </c>
      <c r="C15" s="15" t="s">
        <v>19</v>
      </c>
      <c r="D15" s="16">
        <v>288</v>
      </c>
      <c r="E15" s="17">
        <v>140.91</v>
      </c>
      <c r="F15" s="18">
        <v>40582.080000000002</v>
      </c>
    </row>
    <row r="16" spans="1:6" ht="30" x14ac:dyDescent="0.25">
      <c r="A16" s="4">
        <v>89512</v>
      </c>
      <c r="B16" s="15" t="s">
        <v>25</v>
      </c>
      <c r="C16" s="16" t="s">
        <v>22</v>
      </c>
      <c r="D16" s="16">
        <v>3600</v>
      </c>
      <c r="E16" s="17">
        <v>64.39</v>
      </c>
      <c r="F16" s="18">
        <v>231804</v>
      </c>
    </row>
    <row r="17" spans="1:6" x14ac:dyDescent="0.25">
      <c r="A17" s="4">
        <v>99814</v>
      </c>
      <c r="B17" s="15" t="s">
        <v>26</v>
      </c>
      <c r="C17" s="16" t="s">
        <v>16</v>
      </c>
      <c r="D17" s="16">
        <v>2631.2</v>
      </c>
      <c r="E17" s="17">
        <v>2.16</v>
      </c>
      <c r="F17" s="18">
        <v>5683.39</v>
      </c>
    </row>
    <row r="18" spans="1:6" ht="30" x14ac:dyDescent="0.25">
      <c r="A18" s="4">
        <v>98556</v>
      </c>
      <c r="B18" s="15" t="s">
        <v>27</v>
      </c>
      <c r="C18" s="15" t="s">
        <v>16</v>
      </c>
      <c r="D18" s="16">
        <v>2631.2</v>
      </c>
      <c r="E18" s="17">
        <v>67.64</v>
      </c>
      <c r="F18" s="18">
        <v>177974.36</v>
      </c>
    </row>
    <row r="19" spans="1:6" x14ac:dyDescent="0.25">
      <c r="A19" s="4">
        <v>102489</v>
      </c>
      <c r="B19" s="15" t="s">
        <v>28</v>
      </c>
      <c r="C19" s="16" t="s">
        <v>16</v>
      </c>
      <c r="D19" s="16">
        <v>2631.2</v>
      </c>
      <c r="E19" s="17">
        <v>32.119999999999997</v>
      </c>
      <c r="F19" s="18">
        <v>84514.14</v>
      </c>
    </row>
    <row r="20" spans="1:6" ht="24.95" customHeight="1" x14ac:dyDescent="0.25">
      <c r="A20" s="11"/>
      <c r="B20" s="12" t="s">
        <v>29</v>
      </c>
      <c r="C20" s="13"/>
      <c r="D20" s="13"/>
      <c r="E20" s="13"/>
      <c r="F20" s="14">
        <f>SUM(F21:F24)</f>
        <v>3290229.12</v>
      </c>
    </row>
    <row r="21" spans="1:6" ht="30" x14ac:dyDescent="0.25">
      <c r="A21" s="4">
        <v>97631</v>
      </c>
      <c r="B21" s="15" t="s">
        <v>30</v>
      </c>
      <c r="C21" s="16" t="s">
        <v>16</v>
      </c>
      <c r="D21" s="16">
        <v>37884</v>
      </c>
      <c r="E21" s="17">
        <v>16.18</v>
      </c>
      <c r="F21" s="18">
        <v>612963.12</v>
      </c>
    </row>
    <row r="22" spans="1:6" ht="45" x14ac:dyDescent="0.25">
      <c r="A22" s="4">
        <v>87879</v>
      </c>
      <c r="B22" s="15" t="s">
        <v>31</v>
      </c>
      <c r="C22" s="16" t="s">
        <v>16</v>
      </c>
      <c r="D22" s="16">
        <v>37884</v>
      </c>
      <c r="E22" s="17">
        <v>5.13</v>
      </c>
      <c r="F22" s="18">
        <v>194344.92</v>
      </c>
    </row>
    <row r="23" spans="1:6" ht="45" x14ac:dyDescent="0.25">
      <c r="A23" s="4">
        <v>87775</v>
      </c>
      <c r="B23" s="15" t="s">
        <v>32</v>
      </c>
      <c r="C23" s="15" t="s">
        <v>16</v>
      </c>
      <c r="D23" s="16">
        <v>37740</v>
      </c>
      <c r="E23" s="17">
        <v>65.61</v>
      </c>
      <c r="F23" s="18">
        <v>2476121.4</v>
      </c>
    </row>
    <row r="24" spans="1:6" ht="45" x14ac:dyDescent="0.25">
      <c r="A24" s="4">
        <v>87530</v>
      </c>
      <c r="B24" s="15" t="s">
        <v>33</v>
      </c>
      <c r="C24" s="16" t="s">
        <v>16</v>
      </c>
      <c r="D24" s="16">
        <v>144</v>
      </c>
      <c r="E24" s="17">
        <v>47.22</v>
      </c>
      <c r="F24" s="18">
        <v>6799.68</v>
      </c>
    </row>
    <row r="25" spans="1:6" ht="31.5" x14ac:dyDescent="0.25">
      <c r="A25" s="11"/>
      <c r="B25" s="12" t="s">
        <v>34</v>
      </c>
      <c r="C25" s="13"/>
      <c r="D25" s="13"/>
      <c r="E25" s="13"/>
      <c r="F25" s="14">
        <f>SUM(F26:F27)</f>
        <v>105612.4</v>
      </c>
    </row>
    <row r="26" spans="1:6" ht="30" x14ac:dyDescent="0.25">
      <c r="A26" s="4" t="s">
        <v>92</v>
      </c>
      <c r="B26" s="15" t="s">
        <v>35</v>
      </c>
      <c r="C26" s="16" t="s">
        <v>22</v>
      </c>
      <c r="D26" s="16">
        <v>220</v>
      </c>
      <c r="E26" s="17">
        <v>37.67</v>
      </c>
      <c r="F26" s="18">
        <v>8287.4</v>
      </c>
    </row>
    <row r="27" spans="1:6" ht="30" x14ac:dyDescent="0.25">
      <c r="A27" s="4" t="s">
        <v>92</v>
      </c>
      <c r="B27" s="15" t="s">
        <v>36</v>
      </c>
      <c r="C27" s="16" t="s">
        <v>22</v>
      </c>
      <c r="D27" s="16">
        <v>500</v>
      </c>
      <c r="E27" s="17">
        <v>194.65</v>
      </c>
      <c r="F27" s="18">
        <v>97325</v>
      </c>
    </row>
    <row r="28" spans="1:6" ht="24.95" customHeight="1" x14ac:dyDescent="0.25">
      <c r="A28" s="11"/>
      <c r="B28" s="12" t="s">
        <v>37</v>
      </c>
      <c r="C28" s="13"/>
      <c r="D28" s="13"/>
      <c r="E28" s="13"/>
      <c r="F28" s="14">
        <f>SUM(F29:F31)</f>
        <v>466636.78</v>
      </c>
    </row>
    <row r="29" spans="1:6" x14ac:dyDescent="0.25">
      <c r="A29" s="4">
        <v>4750</v>
      </c>
      <c r="B29" s="15" t="s">
        <v>38</v>
      </c>
      <c r="C29" s="16" t="s">
        <v>8</v>
      </c>
      <c r="D29" s="16">
        <v>4510</v>
      </c>
      <c r="E29" s="17">
        <v>26.03</v>
      </c>
      <c r="F29" s="18">
        <v>117395.3</v>
      </c>
    </row>
    <row r="30" spans="1:6" x14ac:dyDescent="0.25">
      <c r="A30" s="4">
        <v>6127</v>
      </c>
      <c r="B30" s="15" t="s">
        <v>39</v>
      </c>
      <c r="C30" s="16" t="s">
        <v>8</v>
      </c>
      <c r="D30" s="16">
        <v>4510</v>
      </c>
      <c r="E30" s="17">
        <v>23.93</v>
      </c>
      <c r="F30" s="18">
        <v>107924.3</v>
      </c>
    </row>
    <row r="31" spans="1:6" ht="30" x14ac:dyDescent="0.25">
      <c r="A31" s="4" t="s">
        <v>92</v>
      </c>
      <c r="B31" s="15" t="s">
        <v>40</v>
      </c>
      <c r="C31" s="16" t="s">
        <v>22</v>
      </c>
      <c r="D31" s="16">
        <v>14313</v>
      </c>
      <c r="E31" s="17">
        <v>16.86</v>
      </c>
      <c r="F31" s="18">
        <v>241317.18</v>
      </c>
    </row>
    <row r="32" spans="1:6" ht="24.95" customHeight="1" x14ac:dyDescent="0.25">
      <c r="A32" s="11"/>
      <c r="B32" s="12" t="s">
        <v>41</v>
      </c>
      <c r="C32" s="13"/>
      <c r="D32" s="13"/>
      <c r="E32" s="13"/>
      <c r="F32" s="14">
        <f>SUM(F33:F34)</f>
        <v>887708.05999999994</v>
      </c>
    </row>
    <row r="33" spans="1:6" x14ac:dyDescent="0.25">
      <c r="A33" s="4">
        <v>88309</v>
      </c>
      <c r="B33" s="15" t="s">
        <v>42</v>
      </c>
      <c r="C33" s="16" t="s">
        <v>8</v>
      </c>
      <c r="D33" s="16">
        <v>3535</v>
      </c>
      <c r="E33" s="17">
        <v>35.869999999999997</v>
      </c>
      <c r="F33" s="18">
        <v>126800.45</v>
      </c>
    </row>
    <row r="34" spans="1:6" ht="30" x14ac:dyDescent="0.25">
      <c r="A34" s="4">
        <v>101965</v>
      </c>
      <c r="B34" s="15" t="s">
        <v>43</v>
      </c>
      <c r="C34" s="16" t="s">
        <v>22</v>
      </c>
      <c r="D34" s="16">
        <v>4419</v>
      </c>
      <c r="E34" s="17">
        <v>172.19</v>
      </c>
      <c r="F34" s="18">
        <v>760907.61</v>
      </c>
    </row>
    <row r="35" spans="1:6" ht="24.95" customHeight="1" x14ac:dyDescent="0.25">
      <c r="A35" s="11"/>
      <c r="B35" s="12" t="s">
        <v>44</v>
      </c>
      <c r="C35" s="13"/>
      <c r="D35" s="13"/>
      <c r="E35" s="13"/>
      <c r="F35" s="14">
        <f>SUM(F36:F39)</f>
        <v>173475.68</v>
      </c>
    </row>
    <row r="36" spans="1:6" ht="30" x14ac:dyDescent="0.25">
      <c r="A36" s="4">
        <v>97633</v>
      </c>
      <c r="B36" s="15" t="s">
        <v>45</v>
      </c>
      <c r="C36" s="16" t="s">
        <v>16</v>
      </c>
      <c r="D36" s="16">
        <v>1336</v>
      </c>
      <c r="E36" s="17">
        <v>32.32</v>
      </c>
      <c r="F36" s="18">
        <v>43179.519999999997</v>
      </c>
    </row>
    <row r="37" spans="1:6" ht="30" x14ac:dyDescent="0.25">
      <c r="A37" s="4">
        <v>87256</v>
      </c>
      <c r="B37" s="15" t="s">
        <v>46</v>
      </c>
      <c r="C37" s="16" t="s">
        <v>16</v>
      </c>
      <c r="D37" s="16">
        <v>1336</v>
      </c>
      <c r="E37" s="17">
        <v>72.83</v>
      </c>
      <c r="F37" s="18">
        <v>97300.88</v>
      </c>
    </row>
    <row r="38" spans="1:6" ht="30" x14ac:dyDescent="0.25">
      <c r="A38" s="4">
        <v>97632</v>
      </c>
      <c r="B38" s="15" t="s">
        <v>47</v>
      </c>
      <c r="C38" s="16" t="s">
        <v>22</v>
      </c>
      <c r="D38" s="16">
        <v>2137</v>
      </c>
      <c r="E38" s="17">
        <v>3.7</v>
      </c>
      <c r="F38" s="18">
        <v>7906.9</v>
      </c>
    </row>
    <row r="39" spans="1:6" ht="30" x14ac:dyDescent="0.25">
      <c r="A39" s="4">
        <v>88650</v>
      </c>
      <c r="B39" s="15" t="s">
        <v>48</v>
      </c>
      <c r="C39" s="16" t="s">
        <v>22</v>
      </c>
      <c r="D39" s="16">
        <v>2137</v>
      </c>
      <c r="E39" s="17">
        <v>11.74</v>
      </c>
      <c r="F39" s="18">
        <v>25088.38</v>
      </c>
    </row>
    <row r="40" spans="1:6" ht="24.95" customHeight="1" x14ac:dyDescent="0.25">
      <c r="A40" s="11"/>
      <c r="B40" s="12" t="s">
        <v>49</v>
      </c>
      <c r="C40" s="13"/>
      <c r="D40" s="13"/>
      <c r="E40" s="13"/>
      <c r="F40" s="14">
        <f>SUM(F41:F44)</f>
        <v>68142.739999999991</v>
      </c>
    </row>
    <row r="41" spans="1:6" ht="30" x14ac:dyDescent="0.25">
      <c r="A41" s="4">
        <v>97639</v>
      </c>
      <c r="B41" s="15" t="s">
        <v>50</v>
      </c>
      <c r="C41" s="16" t="s">
        <v>16</v>
      </c>
      <c r="D41" s="16">
        <v>173</v>
      </c>
      <c r="E41" s="17">
        <v>29.08</v>
      </c>
      <c r="F41" s="18">
        <v>5030.84</v>
      </c>
    </row>
    <row r="42" spans="1:6" ht="30" x14ac:dyDescent="0.25">
      <c r="A42" s="4">
        <v>97735</v>
      </c>
      <c r="B42" s="15" t="s">
        <v>51</v>
      </c>
      <c r="C42" s="16" t="s">
        <v>52</v>
      </c>
      <c r="D42" s="16">
        <v>9</v>
      </c>
      <c r="E42" s="17">
        <v>2797.38</v>
      </c>
      <c r="F42" s="18">
        <v>25176.42</v>
      </c>
    </row>
    <row r="43" spans="1:6" ht="30" x14ac:dyDescent="0.25">
      <c r="A43" s="4">
        <v>94231</v>
      </c>
      <c r="B43" s="15" t="s">
        <v>53</v>
      </c>
      <c r="C43" s="16" t="s">
        <v>22</v>
      </c>
      <c r="D43" s="16">
        <v>288</v>
      </c>
      <c r="E43" s="17">
        <v>53.51</v>
      </c>
      <c r="F43" s="18">
        <v>15410.88</v>
      </c>
    </row>
    <row r="44" spans="1:6" ht="30" x14ac:dyDescent="0.25">
      <c r="A44" s="4">
        <v>101732</v>
      </c>
      <c r="B44" s="15" t="s">
        <v>54</v>
      </c>
      <c r="C44" s="16" t="s">
        <v>16</v>
      </c>
      <c r="D44" s="16">
        <v>173</v>
      </c>
      <c r="E44" s="17">
        <v>130.19999999999999</v>
      </c>
      <c r="F44" s="18">
        <v>22524.6</v>
      </c>
    </row>
    <row r="45" spans="1:6" ht="24.95" customHeight="1" x14ac:dyDescent="0.25">
      <c r="A45" s="11"/>
      <c r="B45" s="12" t="s">
        <v>55</v>
      </c>
      <c r="C45" s="13"/>
      <c r="D45" s="13"/>
      <c r="E45" s="13"/>
      <c r="F45" s="14">
        <f>SUM(F46:F48)</f>
        <v>16801.599999999999</v>
      </c>
    </row>
    <row r="46" spans="1:6" x14ac:dyDescent="0.25">
      <c r="A46" s="4">
        <v>88316</v>
      </c>
      <c r="B46" s="15" t="s">
        <v>56</v>
      </c>
      <c r="C46" s="16" t="s">
        <v>8</v>
      </c>
      <c r="D46" s="16">
        <v>80</v>
      </c>
      <c r="E46" s="17">
        <v>31.15</v>
      </c>
      <c r="F46" s="18">
        <v>2492</v>
      </c>
    </row>
    <row r="47" spans="1:6" x14ac:dyDescent="0.25">
      <c r="A47" s="4">
        <v>88309</v>
      </c>
      <c r="B47" s="15" t="s">
        <v>42</v>
      </c>
      <c r="C47" s="16" t="s">
        <v>8</v>
      </c>
      <c r="D47" s="16">
        <v>80</v>
      </c>
      <c r="E47" s="17">
        <v>35.869999999999997</v>
      </c>
      <c r="F47" s="18">
        <v>2869.6</v>
      </c>
    </row>
    <row r="48" spans="1:6" ht="45" x14ac:dyDescent="0.25">
      <c r="A48" s="4">
        <v>98108</v>
      </c>
      <c r="B48" s="15" t="s">
        <v>57</v>
      </c>
      <c r="C48" s="16" t="s">
        <v>19</v>
      </c>
      <c r="D48" s="16">
        <v>20</v>
      </c>
      <c r="E48" s="17">
        <v>572</v>
      </c>
      <c r="F48" s="18">
        <v>11440</v>
      </c>
    </row>
    <row r="49" spans="1:6" ht="24.95" customHeight="1" x14ac:dyDescent="0.25">
      <c r="A49" s="11"/>
      <c r="B49" s="12" t="s">
        <v>58</v>
      </c>
      <c r="C49" s="13"/>
      <c r="D49" s="13"/>
      <c r="E49" s="13"/>
      <c r="F49" s="14">
        <f>SUM(F50:F52)</f>
        <v>187683.84</v>
      </c>
    </row>
    <row r="50" spans="1:6" x14ac:dyDescent="0.25">
      <c r="A50" s="4">
        <v>88316</v>
      </c>
      <c r="B50" s="15" t="s">
        <v>56</v>
      </c>
      <c r="C50" s="16" t="s">
        <v>8</v>
      </c>
      <c r="D50" s="16">
        <v>144</v>
      </c>
      <c r="E50" s="17">
        <v>31.15</v>
      </c>
      <c r="F50" s="18">
        <v>4485.6000000000004</v>
      </c>
    </row>
    <row r="51" spans="1:6" x14ac:dyDescent="0.25">
      <c r="A51" s="4">
        <v>88309</v>
      </c>
      <c r="B51" s="15" t="s">
        <v>42</v>
      </c>
      <c r="C51" s="16" t="s">
        <v>8</v>
      </c>
      <c r="D51" s="16">
        <v>144</v>
      </c>
      <c r="E51" s="17">
        <v>35.869999999999997</v>
      </c>
      <c r="F51" s="18">
        <v>5165.28</v>
      </c>
    </row>
    <row r="52" spans="1:6" ht="30" x14ac:dyDescent="0.25">
      <c r="A52" s="4">
        <v>98114</v>
      </c>
      <c r="B52" s="15" t="s">
        <v>59</v>
      </c>
      <c r="C52" s="16" t="s">
        <v>19</v>
      </c>
      <c r="D52" s="16">
        <v>288</v>
      </c>
      <c r="E52" s="17">
        <v>618.16999999999996</v>
      </c>
      <c r="F52" s="18">
        <v>178032.96</v>
      </c>
    </row>
    <row r="53" spans="1:6" ht="24.95" customHeight="1" x14ac:dyDescent="0.25">
      <c r="A53" s="11"/>
      <c r="B53" s="12" t="s">
        <v>60</v>
      </c>
      <c r="C53" s="13"/>
      <c r="D53" s="13"/>
      <c r="E53" s="13"/>
      <c r="F53" s="14"/>
    </row>
    <row r="54" spans="1:6" ht="24.95" customHeight="1" x14ac:dyDescent="0.25">
      <c r="A54" s="11"/>
      <c r="B54" s="12" t="s">
        <v>61</v>
      </c>
      <c r="C54" s="13"/>
      <c r="D54" s="13"/>
      <c r="E54" s="13"/>
      <c r="F54" s="14">
        <f>SUM(F55:F57)</f>
        <v>6231.24</v>
      </c>
    </row>
    <row r="55" spans="1:6" ht="30" x14ac:dyDescent="0.25">
      <c r="A55" s="4">
        <v>97639</v>
      </c>
      <c r="B55" s="15" t="s">
        <v>50</v>
      </c>
      <c r="C55" s="16" t="s">
        <v>16</v>
      </c>
      <c r="D55" s="16">
        <v>60</v>
      </c>
      <c r="E55" s="17">
        <v>29.08</v>
      </c>
      <c r="F55" s="18">
        <v>1744.8</v>
      </c>
    </row>
    <row r="56" spans="1:6" ht="30" x14ac:dyDescent="0.25">
      <c r="A56" s="4">
        <v>93382</v>
      </c>
      <c r="B56" s="15" t="s">
        <v>62</v>
      </c>
      <c r="C56" s="16" t="s">
        <v>52</v>
      </c>
      <c r="D56" s="16">
        <v>6</v>
      </c>
      <c r="E56" s="17">
        <v>35.94</v>
      </c>
      <c r="F56" s="18">
        <v>215.64</v>
      </c>
    </row>
    <row r="57" spans="1:6" ht="30" x14ac:dyDescent="0.25">
      <c r="A57" s="4">
        <v>94993</v>
      </c>
      <c r="B57" s="15" t="s">
        <v>63</v>
      </c>
      <c r="C57" s="16" t="s">
        <v>16</v>
      </c>
      <c r="D57" s="16">
        <v>60</v>
      </c>
      <c r="E57" s="17">
        <v>71.180000000000007</v>
      </c>
      <c r="F57" s="18">
        <v>4270.8</v>
      </c>
    </row>
    <row r="58" spans="1:6" ht="24.95" customHeight="1" x14ac:dyDescent="0.25">
      <c r="A58" s="11"/>
      <c r="B58" s="12" t="s">
        <v>64</v>
      </c>
      <c r="C58" s="13"/>
      <c r="D58" s="13"/>
      <c r="E58" s="13"/>
      <c r="F58" s="14">
        <f>SUM(F59)</f>
        <v>127436.8</v>
      </c>
    </row>
    <row r="59" spans="1:6" ht="30" x14ac:dyDescent="0.25">
      <c r="A59" s="4">
        <v>104658</v>
      </c>
      <c r="B59" s="15" t="s">
        <v>65</v>
      </c>
      <c r="C59" s="16" t="s">
        <v>16</v>
      </c>
      <c r="D59" s="16">
        <v>640</v>
      </c>
      <c r="E59" s="17">
        <v>199.12</v>
      </c>
      <c r="F59" s="18">
        <v>127436.8</v>
      </c>
    </row>
    <row r="60" spans="1:6" ht="24.95" customHeight="1" x14ac:dyDescent="0.25">
      <c r="A60" s="11"/>
      <c r="B60" s="12" t="s">
        <v>66</v>
      </c>
      <c r="C60" s="13"/>
      <c r="D60" s="13"/>
      <c r="E60" s="13"/>
      <c r="F60" s="14">
        <f>SUM(F61:F63)</f>
        <v>101564.06</v>
      </c>
    </row>
    <row r="61" spans="1:6" ht="30" x14ac:dyDescent="0.25">
      <c r="A61" s="4">
        <v>102993</v>
      </c>
      <c r="B61" s="15" t="s">
        <v>67</v>
      </c>
      <c r="C61" s="16" t="s">
        <v>22</v>
      </c>
      <c r="D61" s="16">
        <v>630</v>
      </c>
      <c r="E61" s="17">
        <v>144.27000000000001</v>
      </c>
      <c r="F61" s="18">
        <v>90890.1</v>
      </c>
    </row>
    <row r="62" spans="1:6" x14ac:dyDescent="0.25">
      <c r="A62" s="4">
        <v>93358</v>
      </c>
      <c r="B62" s="15" t="s">
        <v>68</v>
      </c>
      <c r="C62" s="16" t="s">
        <v>52</v>
      </c>
      <c r="D62" s="16">
        <v>75.599999999999994</v>
      </c>
      <c r="E62" s="17">
        <v>123.22</v>
      </c>
      <c r="F62" s="18">
        <v>9315.43</v>
      </c>
    </row>
    <row r="63" spans="1:6" ht="30" x14ac:dyDescent="0.25">
      <c r="A63" s="4">
        <v>93382</v>
      </c>
      <c r="B63" s="15" t="s">
        <v>62</v>
      </c>
      <c r="C63" s="16" t="s">
        <v>52</v>
      </c>
      <c r="D63" s="16">
        <v>37.799999999999997</v>
      </c>
      <c r="E63" s="17">
        <v>35.94</v>
      </c>
      <c r="F63" s="18">
        <v>1358.53</v>
      </c>
    </row>
    <row r="64" spans="1:6" ht="24.95" customHeight="1" x14ac:dyDescent="0.25">
      <c r="A64" s="11"/>
      <c r="B64" s="12" t="s">
        <v>69</v>
      </c>
      <c r="C64" s="13"/>
      <c r="D64" s="13"/>
      <c r="E64" s="13"/>
      <c r="F64" s="14">
        <f>SUM(F65:F66)</f>
        <v>49974.119999999995</v>
      </c>
    </row>
    <row r="65" spans="1:6" ht="30" x14ac:dyDescent="0.25">
      <c r="A65" s="4">
        <v>100619</v>
      </c>
      <c r="B65" s="15" t="s">
        <v>70</v>
      </c>
      <c r="C65" s="16" t="s">
        <v>19</v>
      </c>
      <c r="D65" s="16">
        <v>49</v>
      </c>
      <c r="E65" s="17">
        <v>663.4</v>
      </c>
      <c r="F65" s="18">
        <v>32506.6</v>
      </c>
    </row>
    <row r="66" spans="1:6" ht="30" x14ac:dyDescent="0.25">
      <c r="A66" s="4">
        <v>101657</v>
      </c>
      <c r="B66" s="15" t="s">
        <v>71</v>
      </c>
      <c r="C66" s="16" t="s">
        <v>19</v>
      </c>
      <c r="D66" s="16">
        <v>49</v>
      </c>
      <c r="E66" s="17">
        <v>356.48</v>
      </c>
      <c r="F66" s="18">
        <v>17467.52</v>
      </c>
    </row>
    <row r="67" spans="1:6" ht="24.95" customHeight="1" x14ac:dyDescent="0.25">
      <c r="A67" s="11"/>
      <c r="B67" s="12" t="s">
        <v>72</v>
      </c>
      <c r="C67" s="13"/>
      <c r="D67" s="13"/>
      <c r="E67" s="13"/>
      <c r="F67" s="14">
        <f>SUM(F68:F70)</f>
        <v>112632.25</v>
      </c>
    </row>
    <row r="68" spans="1:6" ht="30" x14ac:dyDescent="0.25">
      <c r="A68" s="4">
        <v>97636</v>
      </c>
      <c r="B68" s="15" t="s">
        <v>73</v>
      </c>
      <c r="C68" s="16" t="s">
        <v>16</v>
      </c>
      <c r="D68" s="16">
        <v>500</v>
      </c>
      <c r="E68" s="17">
        <v>26.76</v>
      </c>
      <c r="F68" s="18">
        <v>13380</v>
      </c>
    </row>
    <row r="69" spans="1:6" ht="60" x14ac:dyDescent="0.25">
      <c r="A69" s="4">
        <v>100571</v>
      </c>
      <c r="B69" s="15" t="s">
        <v>74</v>
      </c>
      <c r="C69" s="16" t="s">
        <v>52</v>
      </c>
      <c r="D69" s="16">
        <v>250</v>
      </c>
      <c r="E69" s="17">
        <v>195.27</v>
      </c>
      <c r="F69" s="18">
        <v>48817.5</v>
      </c>
    </row>
    <row r="70" spans="1:6" ht="30" x14ac:dyDescent="0.25">
      <c r="A70" s="4">
        <v>102098</v>
      </c>
      <c r="B70" s="15" t="s">
        <v>75</v>
      </c>
      <c r="C70" s="16" t="s">
        <v>52</v>
      </c>
      <c r="D70" s="16">
        <v>25</v>
      </c>
      <c r="E70" s="17">
        <v>2017.39</v>
      </c>
      <c r="F70" s="18">
        <v>50434.75</v>
      </c>
    </row>
    <row r="71" spans="1:6" ht="24.95" customHeight="1" x14ac:dyDescent="0.25">
      <c r="A71" s="11"/>
      <c r="B71" s="12" t="s">
        <v>76</v>
      </c>
      <c r="C71" s="13"/>
      <c r="D71" s="13"/>
      <c r="E71" s="13"/>
      <c r="F71" s="14">
        <f>SUM(F72:F77)</f>
        <v>157650.75</v>
      </c>
    </row>
    <row r="72" spans="1:6" ht="30" x14ac:dyDescent="0.25">
      <c r="A72" s="4" t="s">
        <v>92</v>
      </c>
      <c r="B72" s="15" t="s">
        <v>77</v>
      </c>
      <c r="C72" s="16" t="s">
        <v>52</v>
      </c>
      <c r="D72" s="16">
        <v>15</v>
      </c>
      <c r="E72" s="17">
        <v>2555.25</v>
      </c>
      <c r="F72" s="18">
        <v>38328.75</v>
      </c>
    </row>
    <row r="73" spans="1:6" ht="45" x14ac:dyDescent="0.25">
      <c r="A73" s="4">
        <v>87879</v>
      </c>
      <c r="B73" s="15" t="s">
        <v>31</v>
      </c>
      <c r="C73" s="16" t="s">
        <v>16</v>
      </c>
      <c r="D73" s="16">
        <v>600</v>
      </c>
      <c r="E73" s="17">
        <v>5.13</v>
      </c>
      <c r="F73" s="18">
        <v>3078</v>
      </c>
    </row>
    <row r="74" spans="1:6" ht="45" x14ac:dyDescent="0.25">
      <c r="A74" s="4">
        <v>87775</v>
      </c>
      <c r="B74" s="15" t="s">
        <v>32</v>
      </c>
      <c r="C74" s="16" t="s">
        <v>16</v>
      </c>
      <c r="D74" s="16">
        <v>600</v>
      </c>
      <c r="E74" s="17">
        <v>65.61</v>
      </c>
      <c r="F74" s="18">
        <v>39366</v>
      </c>
    </row>
    <row r="75" spans="1:6" ht="45" x14ac:dyDescent="0.25">
      <c r="A75" s="4">
        <v>103319</v>
      </c>
      <c r="B75" s="15" t="s">
        <v>78</v>
      </c>
      <c r="C75" s="16" t="s">
        <v>16</v>
      </c>
      <c r="D75" s="16">
        <v>300</v>
      </c>
      <c r="E75" s="17">
        <v>112.06</v>
      </c>
      <c r="F75" s="18">
        <v>33618</v>
      </c>
    </row>
    <row r="76" spans="1:6" ht="30" x14ac:dyDescent="0.25">
      <c r="A76" s="4">
        <v>104642</v>
      </c>
      <c r="B76" s="15" t="s">
        <v>79</v>
      </c>
      <c r="C76" s="16" t="s">
        <v>16</v>
      </c>
      <c r="D76" s="16">
        <v>600</v>
      </c>
      <c r="E76" s="17">
        <v>13.05</v>
      </c>
      <c r="F76" s="18">
        <v>7830</v>
      </c>
    </row>
    <row r="77" spans="1:6" ht="30" x14ac:dyDescent="0.25">
      <c r="A77" s="4">
        <v>98522</v>
      </c>
      <c r="B77" s="15" t="s">
        <v>80</v>
      </c>
      <c r="C77" s="16" t="s">
        <v>22</v>
      </c>
      <c r="D77" s="16">
        <v>200</v>
      </c>
      <c r="E77" s="17">
        <v>177.15</v>
      </c>
      <c r="F77" s="18">
        <v>35430</v>
      </c>
    </row>
    <row r="78" spans="1:6" ht="31.5" x14ac:dyDescent="0.25">
      <c r="A78" s="11"/>
      <c r="B78" s="12" t="s">
        <v>81</v>
      </c>
      <c r="C78" s="13"/>
      <c r="D78" s="13"/>
      <c r="E78" s="13"/>
      <c r="F78" s="14">
        <f>SUM(F79:F82)</f>
        <v>1606742.84</v>
      </c>
    </row>
    <row r="79" spans="1:6" ht="30" x14ac:dyDescent="0.25">
      <c r="A79" s="4">
        <v>88411</v>
      </c>
      <c r="B79" s="15" t="s">
        <v>82</v>
      </c>
      <c r="C79" s="16" t="s">
        <v>16</v>
      </c>
      <c r="D79" s="16">
        <v>75480</v>
      </c>
      <c r="E79" s="17">
        <v>5.99</v>
      </c>
      <c r="F79" s="18">
        <v>452125.2</v>
      </c>
    </row>
    <row r="80" spans="1:6" ht="30" x14ac:dyDescent="0.25">
      <c r="A80" s="4">
        <v>88424</v>
      </c>
      <c r="B80" s="15" t="s">
        <v>83</v>
      </c>
      <c r="C80" s="16" t="s">
        <v>16</v>
      </c>
      <c r="D80" s="16">
        <v>37740</v>
      </c>
      <c r="E80" s="17">
        <v>29.25</v>
      </c>
      <c r="F80" s="18">
        <v>1103895</v>
      </c>
    </row>
    <row r="81" spans="1:6" x14ac:dyDescent="0.25">
      <c r="A81" s="4">
        <v>88485</v>
      </c>
      <c r="B81" s="15" t="s">
        <v>84</v>
      </c>
      <c r="C81" s="16" t="s">
        <v>16</v>
      </c>
      <c r="D81" s="16">
        <v>4304</v>
      </c>
      <c r="E81" s="17">
        <v>5.26</v>
      </c>
      <c r="F81" s="18">
        <v>22639.040000000001</v>
      </c>
    </row>
    <row r="82" spans="1:6" ht="30" x14ac:dyDescent="0.25">
      <c r="A82" s="4">
        <v>104642</v>
      </c>
      <c r="B82" s="15" t="s">
        <v>79</v>
      </c>
      <c r="C82" s="16" t="s">
        <v>16</v>
      </c>
      <c r="D82" s="16">
        <v>2152</v>
      </c>
      <c r="E82" s="17">
        <v>13.05</v>
      </c>
      <c r="F82" s="18">
        <v>28083.599999999999</v>
      </c>
    </row>
    <row r="83" spans="1:6" ht="24.95" customHeight="1" x14ac:dyDescent="0.25">
      <c r="A83" s="11"/>
      <c r="B83" s="12" t="s">
        <v>85</v>
      </c>
      <c r="C83" s="13"/>
      <c r="D83" s="13"/>
      <c r="E83" s="13"/>
      <c r="F83" s="14">
        <f>SUM(F84:F85)</f>
        <v>161197.68</v>
      </c>
    </row>
    <row r="84" spans="1:6" ht="45" x14ac:dyDescent="0.25">
      <c r="A84" s="4">
        <v>100981</v>
      </c>
      <c r="B84" s="15" t="s">
        <v>86</v>
      </c>
      <c r="C84" s="16" t="s">
        <v>52</v>
      </c>
      <c r="D84" s="16">
        <v>1374</v>
      </c>
      <c r="E84" s="17">
        <v>10.82</v>
      </c>
      <c r="F84" s="18">
        <v>14866.68</v>
      </c>
    </row>
    <row r="85" spans="1:6" ht="30" x14ac:dyDescent="0.25">
      <c r="A85" s="4">
        <v>97914</v>
      </c>
      <c r="B85" s="15" t="s">
        <v>87</v>
      </c>
      <c r="C85" s="16" t="s">
        <v>88</v>
      </c>
      <c r="D85" s="16">
        <v>41220</v>
      </c>
      <c r="E85" s="17">
        <v>3.55</v>
      </c>
      <c r="F85" s="18">
        <v>146331</v>
      </c>
    </row>
    <row r="86" spans="1:6" ht="24.95" customHeight="1" x14ac:dyDescent="0.25">
      <c r="A86" s="11"/>
      <c r="B86" s="12" t="s">
        <v>89</v>
      </c>
      <c r="C86" s="13"/>
      <c r="D86" s="13"/>
      <c r="E86" s="13"/>
      <c r="F86" s="14">
        <f>SUM(F87:F88)</f>
        <v>156712.6</v>
      </c>
    </row>
    <row r="87" spans="1:6" x14ac:dyDescent="0.25">
      <c r="A87" s="4">
        <v>99811</v>
      </c>
      <c r="B87" s="15" t="s">
        <v>90</v>
      </c>
      <c r="C87" s="16" t="s">
        <v>16</v>
      </c>
      <c r="D87" s="16">
        <v>3600</v>
      </c>
      <c r="E87" s="17">
        <v>0.89</v>
      </c>
      <c r="F87" s="18">
        <v>3204</v>
      </c>
    </row>
    <row r="88" spans="1:6" x14ac:dyDescent="0.25">
      <c r="A88" s="4">
        <v>101452</v>
      </c>
      <c r="B88" s="15" t="s">
        <v>91</v>
      </c>
      <c r="C88" s="16" t="s">
        <v>13</v>
      </c>
      <c r="D88" s="16">
        <v>29</v>
      </c>
      <c r="E88" s="17">
        <v>5293.4</v>
      </c>
      <c r="F88" s="18">
        <v>153508.6</v>
      </c>
    </row>
    <row r="89" spans="1:6" ht="15.75" x14ac:dyDescent="0.25">
      <c r="A89" s="19" t="s">
        <v>94</v>
      </c>
      <c r="B89" s="19"/>
      <c r="C89" s="19"/>
      <c r="D89" s="19"/>
      <c r="E89" s="20">
        <f>SUM(F3+F8+F12+F20+F25+F28+F32+F35+F40+F45+F49+F54+F58+F60+F64+F67+F71+F78+F83+F86)</f>
        <v>10385971.809999999</v>
      </c>
      <c r="F89" s="21"/>
    </row>
    <row r="90" spans="1:6" ht="15.75" x14ac:dyDescent="0.25">
      <c r="A90" s="19" t="s">
        <v>95</v>
      </c>
      <c r="B90" s="19"/>
      <c r="C90" s="19"/>
      <c r="D90" s="22">
        <v>0.30620000000000003</v>
      </c>
      <c r="E90" s="20">
        <f>E89*D90</f>
        <v>3180184.5682219998</v>
      </c>
      <c r="F90" s="21"/>
    </row>
    <row r="91" spans="1:6" ht="18.75" x14ac:dyDescent="0.25">
      <c r="A91" s="23" t="s">
        <v>96</v>
      </c>
      <c r="B91" s="23"/>
      <c r="C91" s="23"/>
      <c r="D91" s="23"/>
      <c r="E91" s="24">
        <f>SUM(E89:F90)</f>
        <v>13566156.378221998</v>
      </c>
      <c r="F91" s="25"/>
    </row>
    <row r="92" spans="1:6" ht="15.75" x14ac:dyDescent="0.25">
      <c r="B92" s="3"/>
      <c r="E92" s="1"/>
      <c r="F92" s="2"/>
    </row>
    <row r="93" spans="1:6" x14ac:dyDescent="0.25">
      <c r="B93" s="3"/>
      <c r="E93" s="1"/>
      <c r="F93" s="1"/>
    </row>
  </sheetData>
  <sheetProtection formatCells="0" formatColumns="0" formatRows="0" insertColumns="0" insertRows="0" insertHyperlinks="0" deleteColumns="0" deleteRows="0" sort="0" autoFilter="0" pivotTables="0"/>
  <autoFilter ref="A2:F2" xr:uid="{00000000-0009-0000-0000-000000000000}"/>
  <mergeCells count="28">
    <mergeCell ref="A91:D91"/>
    <mergeCell ref="E91:F91"/>
    <mergeCell ref="C83:E83"/>
    <mergeCell ref="C86:E86"/>
    <mergeCell ref="A89:D89"/>
    <mergeCell ref="E89:F89"/>
    <mergeCell ref="A90:C90"/>
    <mergeCell ref="E90:F90"/>
    <mergeCell ref="A1:F1"/>
    <mergeCell ref="C3:E3"/>
    <mergeCell ref="C8:E8"/>
    <mergeCell ref="C12:E12"/>
    <mergeCell ref="C20:E20"/>
    <mergeCell ref="C25:E25"/>
    <mergeCell ref="C28:E28"/>
    <mergeCell ref="C32:E32"/>
    <mergeCell ref="C35:E35"/>
    <mergeCell ref="C40:E40"/>
    <mergeCell ref="C45:E45"/>
    <mergeCell ref="C49:E49"/>
    <mergeCell ref="C53:E53"/>
    <mergeCell ref="C60:E60"/>
    <mergeCell ref="C64:E64"/>
    <mergeCell ref="C67:E67"/>
    <mergeCell ref="C71:E71"/>
    <mergeCell ref="C78:E78"/>
    <mergeCell ref="C54:E54"/>
    <mergeCell ref="C58:E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Sinapi em Excel</dc:title>
  <dc:subject>Sinapi em Excel</dc:subject>
  <dc:creator>i9orcamentos.com.br</dc:creator>
  <cp:keywords>Sinapi Excel</cp:keywords>
  <dc:description>Sinapi em Excel</dc:description>
  <cp:lastModifiedBy>Leo Santos</cp:lastModifiedBy>
  <dcterms:created xsi:type="dcterms:W3CDTF">2026-05-13T11:24:47Z</dcterms:created>
  <dcterms:modified xsi:type="dcterms:W3CDTF">2026-05-13T13:22:57Z</dcterms:modified>
  <cp:category>Sinapi Excel</cp:category>
</cp:coreProperties>
</file>